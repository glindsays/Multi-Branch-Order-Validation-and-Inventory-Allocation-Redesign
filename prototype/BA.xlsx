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66E9572-312B-43A4-B3DF-D5C9777F2226}" xr6:coauthVersionLast="47" xr6:coauthVersionMax="47" xr10:uidLastSave="{00000000-0000-0000-0000-000000000000}"/>
  <bookViews>
    <workbookView xWindow="-110" yWindow="-110" windowWidth="19420" windowHeight="10300" xr2:uid="{9835C17C-77D3-4E7D-B434-FE678C70EB45}"/>
  </bookViews>
  <sheets>
    <sheet name="Order Form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C4" i="1"/>
  <c r="B4" i="1"/>
  <c r="E4" i="1"/>
</calcChain>
</file>

<file path=xl/sharedStrings.xml><?xml version="1.0" encoding="utf-8"?>
<sst xmlns="http://schemas.openxmlformats.org/spreadsheetml/2006/main" count="112" uniqueCount="54">
  <si>
    <t>product_id</t>
  </si>
  <si>
    <t>product_name</t>
  </si>
  <si>
    <t>category</t>
  </si>
  <si>
    <t>unit_price</t>
  </si>
  <si>
    <t>reorder_threshold</t>
  </si>
  <si>
    <t>Mat Lam Tam</t>
  </si>
  <si>
    <t>Hardware</t>
  </si>
  <si>
    <t>Bamity</t>
  </si>
  <si>
    <t>Electronics</t>
  </si>
  <si>
    <t>Tempsoft</t>
  </si>
  <si>
    <t>Bitwolf</t>
  </si>
  <si>
    <t>Cables</t>
  </si>
  <si>
    <t>Konklux</t>
  </si>
  <si>
    <t>Pannier</t>
  </si>
  <si>
    <t>Y-Solowarm</t>
  </si>
  <si>
    <t>Temp</t>
  </si>
  <si>
    <t>Span</t>
  </si>
  <si>
    <t>Tin</t>
  </si>
  <si>
    <t>Fix San</t>
  </si>
  <si>
    <t>Paints</t>
  </si>
  <si>
    <t>Cookley</t>
  </si>
  <si>
    <t>Regrant</t>
  </si>
  <si>
    <t>Appliances</t>
  </si>
  <si>
    <t>Y-find</t>
  </si>
  <si>
    <t>Lotstring</t>
  </si>
  <si>
    <t>Voltsillam</t>
  </si>
  <si>
    <t>Viva</t>
  </si>
  <si>
    <t>Transcof</t>
  </si>
  <si>
    <t>Sub-Ex</t>
  </si>
  <si>
    <t>Rank</t>
  </si>
  <si>
    <t>Aerified</t>
  </si>
  <si>
    <t>Lotlux</t>
  </si>
  <si>
    <t>Flexidy</t>
  </si>
  <si>
    <t>Tresom</t>
  </si>
  <si>
    <t>Matsoft</t>
  </si>
  <si>
    <t>Otcom</t>
  </si>
  <si>
    <t>Andalax</t>
  </si>
  <si>
    <t>Gembucket</t>
  </si>
  <si>
    <t>Cardify</t>
  </si>
  <si>
    <t>Alphazap</t>
  </si>
  <si>
    <t>Opela</t>
  </si>
  <si>
    <t>Redhold</t>
  </si>
  <si>
    <t>Overhold</t>
  </si>
  <si>
    <t>Bitchip</t>
  </si>
  <si>
    <t>Tampflex</t>
  </si>
  <si>
    <t>Bytecard</t>
  </si>
  <si>
    <t>Tres-Zap</t>
  </si>
  <si>
    <t>Kanlam</t>
  </si>
  <si>
    <t>Konklab</t>
  </si>
  <si>
    <t>Product Name</t>
  </si>
  <si>
    <t>Category</t>
  </si>
  <si>
    <t>Unit Price</t>
  </si>
  <si>
    <t>Order Qty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</si>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</sst>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7F9F-67B0-4757-B236-060D5303F165}">
  <dimension ref="A3:E20"/>
  <sheetViews>
    <sheetView tabSelected="1" workbookViewId="0">
      <selection activeCell="D6" sqref="D6"/>
    </sheetView>
  </sheetViews>
  <sheetFormatPr defaultRowHeight="14.5" x14ac:dyDescent="0.35"/>
  <cols>
    <col min="1" max="1" width="13.6328125" customWidth="1"/>
    <col min="2" max="2" width="13.36328125" customWidth="1"/>
    <col min="3" max="3" width="13.81640625" customWidth="1"/>
    <col min="4" max="4" width="9.7265625" customWidth="1"/>
    <col min="5" max="5" width="15.90625" customWidth="1"/>
  </cols>
  <sheetData>
    <row r="3" spans="1:5" x14ac:dyDescent="0.35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</row>
    <row r="4" spans="1:5" x14ac:dyDescent="0.35">
      <c r="A4" s="2" t="s">
        <v>9</v>
      </c>
      <c r="B4" t="str">
        <f>_xlfn.XLOOKUP(A4, Products!$B$2:$B$51, Products!$C$2:$C$51, "")</f>
        <v>Hardware</v>
      </c>
      <c r="C4">
        <f>_xlfn.XLOOKUP(A4, Products!$B$2:$B$51, Products!$D$2:$D$51, "")</f>
        <v>3015896</v>
      </c>
      <c r="D4">
        <v>2</v>
      </c>
      <c r="E4">
        <f>IF(A4="","", C4*D4)</f>
        <v>6031792</v>
      </c>
    </row>
    <row r="5" spans="1:5" x14ac:dyDescent="0.35">
      <c r="A5" s="2" t="s">
        <v>14</v>
      </c>
      <c r="B5" t="str">
        <f>_xlfn.XLOOKUP(A5, Products!$B$2:$B$51, Products!$C$2:$C$51, "")</f>
        <v>Hardware</v>
      </c>
      <c r="C5">
        <f>_xlfn.XLOOKUP(A5, Products!$B$2:$B$51, Products!$D$2:$D$51, "")</f>
        <v>307847</v>
      </c>
      <c r="D5">
        <v>5</v>
      </c>
      <c r="E5">
        <f t="shared" ref="E5:E20" si="0">IF(A5="","", C5*D5)</f>
        <v>1539235</v>
      </c>
    </row>
    <row r="6" spans="1:5" x14ac:dyDescent="0.35">
      <c r="A6" s="2"/>
      <c r="B6" t="str">
        <f>_xlfn.XLOOKUP(A6, Products!$B$2:$B$51, Products!$C$2:$C$51, "")</f>
        <v/>
      </c>
      <c r="C6" t="str">
        <f>_xlfn.XLOOKUP(A6, Products!$B$2:$B$51, Products!$D$2:$D$51, "")</f>
        <v/>
      </c>
      <c r="E6" t="str">
        <f t="shared" si="0"/>
        <v/>
      </c>
    </row>
    <row r="7" spans="1:5" x14ac:dyDescent="0.35">
      <c r="A7" s="2"/>
      <c r="B7" t="str">
        <f>_xlfn.XLOOKUP(A7, Products!$B$2:$B$51, Products!$C$2:$C$51, "")</f>
        <v/>
      </c>
      <c r="C7" t="str">
        <f>_xlfn.XLOOKUP(A7, Products!$B$2:$B$51, Products!$D$2:$D$51, "")</f>
        <v/>
      </c>
      <c r="E7" t="str">
        <f t="shared" si="0"/>
        <v/>
      </c>
    </row>
    <row r="8" spans="1:5" x14ac:dyDescent="0.35">
      <c r="A8" s="2"/>
      <c r="B8" t="str">
        <f>_xlfn.XLOOKUP(A8, Products!$B$2:$B$51, Products!$C$2:$C$51, "")</f>
        <v/>
      </c>
      <c r="C8" t="str">
        <f>_xlfn.XLOOKUP(A8, Products!$B$2:$B$51, Products!$D$2:$D$51, "")</f>
        <v/>
      </c>
      <c r="E8" t="str">
        <f t="shared" si="0"/>
        <v/>
      </c>
    </row>
    <row r="9" spans="1:5" x14ac:dyDescent="0.35">
      <c r="A9" s="2"/>
      <c r="B9" t="str">
        <f>_xlfn.XLOOKUP(A9, Products!$B$2:$B$51, Products!$C$2:$C$51, "")</f>
        <v/>
      </c>
      <c r="C9" t="str">
        <f>_xlfn.XLOOKUP(A9, Products!$B$2:$B$51, Products!$D$2:$D$51, "")</f>
        <v/>
      </c>
      <c r="E9" t="str">
        <f t="shared" si="0"/>
        <v/>
      </c>
    </row>
    <row r="10" spans="1:5" x14ac:dyDescent="0.35">
      <c r="A10" s="2"/>
      <c r="B10" t="str">
        <f>_xlfn.XLOOKUP(A10, Products!$B$2:$B$51, Products!$C$2:$C$51, "")</f>
        <v/>
      </c>
      <c r="C10" t="str">
        <f>_xlfn.XLOOKUP(A10, Products!$B$2:$B$51, Products!$D$2:$D$51, "")</f>
        <v/>
      </c>
      <c r="E10" t="str">
        <f t="shared" si="0"/>
        <v/>
      </c>
    </row>
    <row r="11" spans="1:5" x14ac:dyDescent="0.35">
      <c r="A11" s="2"/>
      <c r="B11" t="str">
        <f>_xlfn.XLOOKUP(A11, Products!$B$2:$B$51, Products!$C$2:$C$51, "")</f>
        <v/>
      </c>
      <c r="C11" t="str">
        <f>_xlfn.XLOOKUP(A11, Products!$B$2:$B$51, Products!$D$2:$D$51, "")</f>
        <v/>
      </c>
      <c r="E11" t="str">
        <f t="shared" si="0"/>
        <v/>
      </c>
    </row>
    <row r="12" spans="1:5" x14ac:dyDescent="0.35">
      <c r="A12" s="2"/>
      <c r="B12" t="str">
        <f>_xlfn.XLOOKUP(A12, Products!$B$2:$B$51, Products!$C$2:$C$51, "")</f>
        <v/>
      </c>
      <c r="C12" t="str">
        <f>_xlfn.XLOOKUP(A12, Products!$B$2:$B$51, Products!$D$2:$D$51, "")</f>
        <v/>
      </c>
      <c r="E12" t="str">
        <f t="shared" si="0"/>
        <v/>
      </c>
    </row>
    <row r="13" spans="1:5" x14ac:dyDescent="0.35">
      <c r="A13" s="2"/>
      <c r="B13" t="str">
        <f>_xlfn.XLOOKUP(A13, Products!$B$2:$B$51, Products!$C$2:$C$51, "")</f>
        <v/>
      </c>
      <c r="C13" t="str">
        <f>_xlfn.XLOOKUP(A13, Products!$B$2:$B$51, Products!$D$2:$D$51, "")</f>
        <v/>
      </c>
      <c r="E13" t="str">
        <f t="shared" si="0"/>
        <v/>
      </c>
    </row>
    <row r="14" spans="1:5" x14ac:dyDescent="0.35">
      <c r="A14" s="2"/>
      <c r="B14" t="str">
        <f>_xlfn.XLOOKUP(A14, Products!$B$2:$B$51, Products!$C$2:$C$51, "")</f>
        <v/>
      </c>
      <c r="C14" t="str">
        <f>_xlfn.XLOOKUP(A14, Products!$B$2:$B$51, Products!$D$2:$D$51, "")</f>
        <v/>
      </c>
      <c r="E14" t="str">
        <f t="shared" si="0"/>
        <v/>
      </c>
    </row>
    <row r="15" spans="1:5" x14ac:dyDescent="0.35">
      <c r="A15" s="2"/>
      <c r="B15" t="str">
        <f>_xlfn.XLOOKUP(A15, Products!$B$2:$B$51, Products!$C$2:$C$51, "")</f>
        <v/>
      </c>
      <c r="C15" t="str">
        <f>_xlfn.XLOOKUP(A15, Products!$B$2:$B$51, Products!$D$2:$D$51, "")</f>
        <v/>
      </c>
      <c r="E15" t="str">
        <f t="shared" si="0"/>
        <v/>
      </c>
    </row>
    <row r="16" spans="1:5" x14ac:dyDescent="0.35">
      <c r="A16" s="2"/>
      <c r="B16" t="str">
        <f>_xlfn.XLOOKUP(A16, Products!$B$2:$B$51, Products!$C$2:$C$51, "")</f>
        <v/>
      </c>
      <c r="C16" t="str">
        <f>_xlfn.XLOOKUP(A16, Products!$B$2:$B$51, Products!$D$2:$D$51, "")</f>
        <v/>
      </c>
      <c r="E16" t="str">
        <f t="shared" si="0"/>
        <v/>
      </c>
    </row>
    <row r="17" spans="1:5" x14ac:dyDescent="0.35">
      <c r="A17" s="2"/>
      <c r="B17" t="str">
        <f>_xlfn.XLOOKUP(A17, Products!$B$2:$B$51, Products!$C$2:$C$51, "")</f>
        <v/>
      </c>
      <c r="C17" t="str">
        <f>_xlfn.XLOOKUP(A17, Products!$B$2:$B$51, Products!$D$2:$D$51, "")</f>
        <v/>
      </c>
      <c r="E17" t="str">
        <f t="shared" si="0"/>
        <v/>
      </c>
    </row>
    <row r="18" spans="1:5" x14ac:dyDescent="0.35">
      <c r="A18" s="2"/>
      <c r="B18" t="str">
        <f>_xlfn.XLOOKUP(A18, Products!$B$2:$B$51, Products!$C$2:$C$51, "")</f>
        <v/>
      </c>
      <c r="C18" t="str">
        <f>_xlfn.XLOOKUP(A18, Products!$B$2:$B$51, Products!$D$2:$D$51, "")</f>
        <v/>
      </c>
      <c r="E18" t="str">
        <f t="shared" si="0"/>
        <v/>
      </c>
    </row>
    <row r="19" spans="1:5" x14ac:dyDescent="0.35">
      <c r="A19" s="2"/>
      <c r="B19" t="str">
        <f>_xlfn.XLOOKUP(A19, Products!$B$2:$B$51, Products!$C$2:$C$51, "")</f>
        <v/>
      </c>
      <c r="C19" t="str">
        <f>_xlfn.XLOOKUP(A19, Products!$B$2:$B$51, Products!$D$2:$D$51, "")</f>
        <v/>
      </c>
      <c r="E19" t="str">
        <f t="shared" si="0"/>
        <v/>
      </c>
    </row>
    <row r="20" spans="1:5" x14ac:dyDescent="0.35">
      <c r="A20" s="2"/>
      <c r="B20" t="str">
        <f>_xlfn.XLOOKUP(A20, Products!$B$2:$B$51, Products!$C$2:$C$51, "")</f>
        <v/>
      </c>
      <c r="C20" t="str">
        <f>_xlfn.XLOOKUP(A20, Products!$B$2:$B$51, Products!$D$2:$D$51, "")</f>
        <v/>
      </c>
      <c r="E20" t="str">
        <f t="shared" si="0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67517D-2FFE-4DAD-BE01-80C2FF29EF74}">
          <x14:formula1>
            <xm:f>Products!$B$2:$B$51</xm:f>
          </x14:formula1>
          <xm:sqref>A4:A20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8484-F1D9-430D-B4DF-F9BC7CE0113E}">
  <dimension ref="A1:E51"/>
  <sheetViews>
    <sheetView workbookViewId="0">
      <selection activeCell="B1" sqref="B1:C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791699</v>
      </c>
      <c r="E2">
        <v>30</v>
      </c>
    </row>
    <row r="3" spans="1:5" x14ac:dyDescent="0.35">
      <c r="A3">
        <v>2</v>
      </c>
      <c r="B3" t="s">
        <v>7</v>
      </c>
      <c r="C3" t="s">
        <v>8</v>
      </c>
      <c r="D3">
        <v>3842592</v>
      </c>
      <c r="E3">
        <v>20</v>
      </c>
    </row>
    <row r="4" spans="1:5" x14ac:dyDescent="0.35">
      <c r="A4">
        <v>3</v>
      </c>
      <c r="B4" t="s">
        <v>9</v>
      </c>
      <c r="C4" t="s">
        <v>6</v>
      </c>
      <c r="D4">
        <v>3015896</v>
      </c>
      <c r="E4">
        <v>23</v>
      </c>
    </row>
    <row r="5" spans="1:5" x14ac:dyDescent="0.35">
      <c r="A5">
        <v>4</v>
      </c>
      <c r="B5" t="s">
        <v>10</v>
      </c>
      <c r="C5" t="s">
        <v>11</v>
      </c>
      <c r="D5">
        <v>1685892</v>
      </c>
      <c r="E5">
        <v>26</v>
      </c>
    </row>
    <row r="6" spans="1:5" x14ac:dyDescent="0.35">
      <c r="A6">
        <v>5</v>
      </c>
      <c r="B6" t="s">
        <v>12</v>
      </c>
      <c r="C6" t="s">
        <v>8</v>
      </c>
      <c r="D6">
        <v>1705927</v>
      </c>
      <c r="E6">
        <v>11</v>
      </c>
    </row>
    <row r="7" spans="1:5" x14ac:dyDescent="0.35">
      <c r="A7">
        <v>6</v>
      </c>
      <c r="B7" t="s">
        <v>13</v>
      </c>
      <c r="C7" t="s">
        <v>8</v>
      </c>
      <c r="D7">
        <v>1166558</v>
      </c>
      <c r="E7">
        <v>20</v>
      </c>
    </row>
    <row r="8" spans="1:5" x14ac:dyDescent="0.35">
      <c r="A8">
        <v>7</v>
      </c>
      <c r="B8" t="s">
        <v>14</v>
      </c>
      <c r="C8" t="s">
        <v>6</v>
      </c>
      <c r="D8">
        <v>307847</v>
      </c>
      <c r="E8">
        <v>15</v>
      </c>
    </row>
    <row r="9" spans="1:5" x14ac:dyDescent="0.35">
      <c r="A9">
        <v>8</v>
      </c>
      <c r="B9" t="s">
        <v>15</v>
      </c>
      <c r="C9" t="s">
        <v>8</v>
      </c>
      <c r="D9">
        <v>2835729</v>
      </c>
      <c r="E9">
        <v>22</v>
      </c>
    </row>
    <row r="10" spans="1:5" x14ac:dyDescent="0.35">
      <c r="A10">
        <v>9</v>
      </c>
      <c r="B10" t="s">
        <v>16</v>
      </c>
      <c r="C10" t="s">
        <v>11</v>
      </c>
      <c r="D10">
        <v>118808</v>
      </c>
      <c r="E10">
        <v>19</v>
      </c>
    </row>
    <row r="11" spans="1:5" x14ac:dyDescent="0.35">
      <c r="A11">
        <v>10</v>
      </c>
      <c r="B11" t="s">
        <v>17</v>
      </c>
      <c r="C11" t="s">
        <v>6</v>
      </c>
      <c r="D11">
        <v>4515860</v>
      </c>
      <c r="E11">
        <v>30</v>
      </c>
    </row>
    <row r="12" spans="1:5" x14ac:dyDescent="0.35">
      <c r="A12">
        <v>11</v>
      </c>
      <c r="B12" t="s">
        <v>18</v>
      </c>
      <c r="C12" t="s">
        <v>19</v>
      </c>
      <c r="D12">
        <v>2688297</v>
      </c>
      <c r="E12">
        <v>27</v>
      </c>
    </row>
    <row r="13" spans="1:5" x14ac:dyDescent="0.35">
      <c r="A13">
        <v>12</v>
      </c>
      <c r="B13" t="s">
        <v>20</v>
      </c>
      <c r="C13" t="s">
        <v>11</v>
      </c>
      <c r="D13">
        <v>2847243</v>
      </c>
      <c r="E13">
        <v>21</v>
      </c>
    </row>
    <row r="14" spans="1:5" x14ac:dyDescent="0.35">
      <c r="A14">
        <v>13</v>
      </c>
      <c r="B14" t="s">
        <v>21</v>
      </c>
      <c r="C14" t="s">
        <v>22</v>
      </c>
      <c r="D14">
        <v>1671011</v>
      </c>
      <c r="E14">
        <v>12</v>
      </c>
    </row>
    <row r="15" spans="1:5" x14ac:dyDescent="0.35">
      <c r="A15">
        <v>14</v>
      </c>
      <c r="B15" t="s">
        <v>12</v>
      </c>
      <c r="C15" t="s">
        <v>6</v>
      </c>
      <c r="D15">
        <v>1832730</v>
      </c>
      <c r="E15">
        <v>15</v>
      </c>
    </row>
    <row r="16" spans="1:5" x14ac:dyDescent="0.35">
      <c r="A16">
        <v>15</v>
      </c>
      <c r="B16" t="s">
        <v>5</v>
      </c>
      <c r="C16" t="s">
        <v>22</v>
      </c>
      <c r="D16">
        <v>3227710</v>
      </c>
      <c r="E16">
        <v>10</v>
      </c>
    </row>
    <row r="17" spans="1:5" x14ac:dyDescent="0.35">
      <c r="A17">
        <v>16</v>
      </c>
      <c r="B17" t="s">
        <v>23</v>
      </c>
      <c r="C17" t="s">
        <v>19</v>
      </c>
      <c r="D17">
        <v>3640842</v>
      </c>
      <c r="E17">
        <v>12</v>
      </c>
    </row>
    <row r="18" spans="1:5" x14ac:dyDescent="0.35">
      <c r="A18">
        <v>17</v>
      </c>
      <c r="B18" t="s">
        <v>21</v>
      </c>
      <c r="C18" t="s">
        <v>11</v>
      </c>
      <c r="D18">
        <v>4595813</v>
      </c>
      <c r="E18">
        <v>25</v>
      </c>
    </row>
    <row r="19" spans="1:5" x14ac:dyDescent="0.35">
      <c r="A19">
        <v>18</v>
      </c>
      <c r="B19" t="s">
        <v>24</v>
      </c>
      <c r="C19" t="s">
        <v>11</v>
      </c>
      <c r="D19">
        <v>1119993</v>
      </c>
      <c r="E19">
        <v>12</v>
      </c>
    </row>
    <row r="20" spans="1:5" x14ac:dyDescent="0.35">
      <c r="A20">
        <v>19</v>
      </c>
      <c r="B20" t="s">
        <v>25</v>
      </c>
      <c r="C20" t="s">
        <v>11</v>
      </c>
      <c r="D20">
        <v>4081527</v>
      </c>
      <c r="E20">
        <v>11</v>
      </c>
    </row>
    <row r="21" spans="1:5" x14ac:dyDescent="0.35">
      <c r="A21">
        <v>20</v>
      </c>
      <c r="B21" t="s">
        <v>26</v>
      </c>
      <c r="C21" t="s">
        <v>22</v>
      </c>
      <c r="D21">
        <v>4990552</v>
      </c>
      <c r="E21">
        <v>21</v>
      </c>
    </row>
    <row r="22" spans="1:5" x14ac:dyDescent="0.35">
      <c r="A22">
        <v>21</v>
      </c>
      <c r="B22" t="s">
        <v>27</v>
      </c>
      <c r="C22" t="s">
        <v>8</v>
      </c>
      <c r="D22">
        <v>1227171</v>
      </c>
      <c r="E22">
        <v>11</v>
      </c>
    </row>
    <row r="23" spans="1:5" x14ac:dyDescent="0.35">
      <c r="A23">
        <v>22</v>
      </c>
      <c r="B23" t="s">
        <v>16</v>
      </c>
      <c r="C23" t="s">
        <v>11</v>
      </c>
      <c r="D23">
        <v>4743558</v>
      </c>
      <c r="E23">
        <v>10</v>
      </c>
    </row>
    <row r="24" spans="1:5" x14ac:dyDescent="0.35">
      <c r="A24">
        <v>23</v>
      </c>
      <c r="B24" t="s">
        <v>28</v>
      </c>
      <c r="C24" t="s">
        <v>19</v>
      </c>
      <c r="D24">
        <v>297428</v>
      </c>
      <c r="E24">
        <v>23</v>
      </c>
    </row>
    <row r="25" spans="1:5" x14ac:dyDescent="0.35">
      <c r="A25">
        <v>24</v>
      </c>
      <c r="B25" t="s">
        <v>29</v>
      </c>
      <c r="C25" t="s">
        <v>6</v>
      </c>
      <c r="D25">
        <v>4639601</v>
      </c>
      <c r="E25">
        <v>22</v>
      </c>
    </row>
    <row r="26" spans="1:5" x14ac:dyDescent="0.35">
      <c r="A26">
        <v>25</v>
      </c>
      <c r="B26" t="s">
        <v>30</v>
      </c>
      <c r="C26" t="s">
        <v>6</v>
      </c>
      <c r="D26">
        <v>1917668</v>
      </c>
      <c r="E26">
        <v>23</v>
      </c>
    </row>
    <row r="27" spans="1:5" x14ac:dyDescent="0.35">
      <c r="A27">
        <v>26</v>
      </c>
      <c r="B27" t="s">
        <v>29</v>
      </c>
      <c r="C27" t="s">
        <v>19</v>
      </c>
      <c r="D27">
        <v>807264</v>
      </c>
      <c r="E27">
        <v>17</v>
      </c>
    </row>
    <row r="28" spans="1:5" x14ac:dyDescent="0.35">
      <c r="A28">
        <v>27</v>
      </c>
      <c r="B28" t="s">
        <v>24</v>
      </c>
      <c r="C28" t="s">
        <v>8</v>
      </c>
      <c r="D28">
        <v>3892598</v>
      </c>
      <c r="E28">
        <v>10</v>
      </c>
    </row>
    <row r="29" spans="1:5" x14ac:dyDescent="0.35">
      <c r="A29">
        <v>28</v>
      </c>
      <c r="B29" t="s">
        <v>31</v>
      </c>
      <c r="C29" t="s">
        <v>8</v>
      </c>
      <c r="D29">
        <v>4386717</v>
      </c>
      <c r="E29">
        <v>28</v>
      </c>
    </row>
    <row r="30" spans="1:5" x14ac:dyDescent="0.35">
      <c r="A30">
        <v>29</v>
      </c>
      <c r="B30" t="s">
        <v>32</v>
      </c>
      <c r="C30" t="s">
        <v>19</v>
      </c>
      <c r="D30">
        <v>3201116</v>
      </c>
      <c r="E30">
        <v>12</v>
      </c>
    </row>
    <row r="31" spans="1:5" x14ac:dyDescent="0.35">
      <c r="A31">
        <v>30</v>
      </c>
      <c r="B31" t="s">
        <v>15</v>
      </c>
      <c r="C31" t="s">
        <v>19</v>
      </c>
      <c r="D31">
        <v>3302709</v>
      </c>
      <c r="E31">
        <v>10</v>
      </c>
    </row>
    <row r="32" spans="1:5" x14ac:dyDescent="0.35">
      <c r="A32">
        <v>31</v>
      </c>
      <c r="B32" t="s">
        <v>33</v>
      </c>
      <c r="C32" t="s">
        <v>6</v>
      </c>
      <c r="D32">
        <v>3411522</v>
      </c>
      <c r="E32">
        <v>11</v>
      </c>
    </row>
    <row r="33" spans="1:5" x14ac:dyDescent="0.35">
      <c r="A33">
        <v>32</v>
      </c>
      <c r="B33" t="s">
        <v>34</v>
      </c>
      <c r="C33" t="s">
        <v>22</v>
      </c>
      <c r="D33">
        <v>1009309</v>
      </c>
      <c r="E33">
        <v>11</v>
      </c>
    </row>
    <row r="34" spans="1:5" x14ac:dyDescent="0.35">
      <c r="A34">
        <v>33</v>
      </c>
      <c r="B34" t="s">
        <v>35</v>
      </c>
      <c r="C34" t="s">
        <v>19</v>
      </c>
      <c r="D34">
        <v>2687913</v>
      </c>
      <c r="E34">
        <v>26</v>
      </c>
    </row>
    <row r="35" spans="1:5" x14ac:dyDescent="0.35">
      <c r="A35">
        <v>34</v>
      </c>
      <c r="B35" t="s">
        <v>13</v>
      </c>
      <c r="C35" t="s">
        <v>19</v>
      </c>
      <c r="D35">
        <v>4831652</v>
      </c>
      <c r="E35">
        <v>26</v>
      </c>
    </row>
    <row r="36" spans="1:5" x14ac:dyDescent="0.35">
      <c r="A36">
        <v>35</v>
      </c>
      <c r="B36" t="s">
        <v>36</v>
      </c>
      <c r="C36" t="s">
        <v>8</v>
      </c>
      <c r="D36">
        <v>4302816</v>
      </c>
      <c r="E36">
        <v>18</v>
      </c>
    </row>
    <row r="37" spans="1:5" x14ac:dyDescent="0.35">
      <c r="A37">
        <v>36</v>
      </c>
      <c r="B37" t="s">
        <v>37</v>
      </c>
      <c r="C37" t="s">
        <v>6</v>
      </c>
      <c r="D37">
        <v>4165323</v>
      </c>
      <c r="E37">
        <v>24</v>
      </c>
    </row>
    <row r="38" spans="1:5" x14ac:dyDescent="0.35">
      <c r="A38">
        <v>37</v>
      </c>
      <c r="B38" t="s">
        <v>38</v>
      </c>
      <c r="C38" t="s">
        <v>22</v>
      </c>
      <c r="D38">
        <v>4223652</v>
      </c>
      <c r="E38">
        <v>29</v>
      </c>
    </row>
    <row r="39" spans="1:5" x14ac:dyDescent="0.35">
      <c r="A39">
        <v>38</v>
      </c>
      <c r="B39" t="s">
        <v>39</v>
      </c>
      <c r="C39" t="s">
        <v>8</v>
      </c>
      <c r="D39">
        <v>1495439</v>
      </c>
      <c r="E39">
        <v>23</v>
      </c>
    </row>
    <row r="40" spans="1:5" x14ac:dyDescent="0.35">
      <c r="A40">
        <v>39</v>
      </c>
      <c r="B40" t="s">
        <v>40</v>
      </c>
      <c r="C40" t="s">
        <v>22</v>
      </c>
      <c r="D40">
        <v>3163588</v>
      </c>
      <c r="E40">
        <v>16</v>
      </c>
    </row>
    <row r="41" spans="1:5" x14ac:dyDescent="0.35">
      <c r="A41">
        <v>40</v>
      </c>
      <c r="B41" t="s">
        <v>26</v>
      </c>
      <c r="C41" t="s">
        <v>11</v>
      </c>
      <c r="D41">
        <v>565207</v>
      </c>
      <c r="E41">
        <v>12</v>
      </c>
    </row>
    <row r="42" spans="1:5" x14ac:dyDescent="0.35">
      <c r="A42">
        <v>41</v>
      </c>
      <c r="B42" t="s">
        <v>41</v>
      </c>
      <c r="C42" t="s">
        <v>11</v>
      </c>
      <c r="D42">
        <v>2121150</v>
      </c>
      <c r="E42">
        <v>15</v>
      </c>
    </row>
    <row r="43" spans="1:5" x14ac:dyDescent="0.35">
      <c r="A43">
        <v>42</v>
      </c>
      <c r="B43" t="s">
        <v>42</v>
      </c>
      <c r="C43" t="s">
        <v>22</v>
      </c>
      <c r="D43">
        <v>2867250</v>
      </c>
      <c r="E43">
        <v>15</v>
      </c>
    </row>
    <row r="44" spans="1:5" x14ac:dyDescent="0.35">
      <c r="A44">
        <v>43</v>
      </c>
      <c r="B44" t="s">
        <v>43</v>
      </c>
      <c r="C44" t="s">
        <v>11</v>
      </c>
      <c r="D44">
        <v>1275097</v>
      </c>
      <c r="E44">
        <v>30</v>
      </c>
    </row>
    <row r="45" spans="1:5" x14ac:dyDescent="0.35">
      <c r="A45">
        <v>44</v>
      </c>
      <c r="B45" t="s">
        <v>44</v>
      </c>
      <c r="C45" t="s">
        <v>19</v>
      </c>
      <c r="D45">
        <v>2214556</v>
      </c>
      <c r="E45">
        <v>18</v>
      </c>
    </row>
    <row r="46" spans="1:5" x14ac:dyDescent="0.35">
      <c r="A46">
        <v>45</v>
      </c>
      <c r="B46" t="s">
        <v>45</v>
      </c>
      <c r="C46" t="s">
        <v>11</v>
      </c>
      <c r="D46">
        <v>1937191</v>
      </c>
      <c r="E46">
        <v>24</v>
      </c>
    </row>
    <row r="47" spans="1:5" x14ac:dyDescent="0.35">
      <c r="A47">
        <v>46</v>
      </c>
      <c r="B47" t="s">
        <v>46</v>
      </c>
      <c r="C47" t="s">
        <v>19</v>
      </c>
      <c r="D47">
        <v>221092</v>
      </c>
      <c r="E47">
        <v>29</v>
      </c>
    </row>
    <row r="48" spans="1:5" x14ac:dyDescent="0.35">
      <c r="A48">
        <v>47</v>
      </c>
      <c r="B48" t="s">
        <v>47</v>
      </c>
      <c r="C48" t="s">
        <v>8</v>
      </c>
      <c r="D48">
        <v>50727</v>
      </c>
      <c r="E48">
        <v>27</v>
      </c>
    </row>
    <row r="49" spans="1:5" x14ac:dyDescent="0.35">
      <c r="A49">
        <v>48</v>
      </c>
      <c r="B49" t="s">
        <v>48</v>
      </c>
      <c r="C49" t="s">
        <v>8</v>
      </c>
      <c r="D49">
        <v>4369910</v>
      </c>
      <c r="E49">
        <v>26</v>
      </c>
    </row>
    <row r="50" spans="1:5" x14ac:dyDescent="0.35">
      <c r="A50">
        <v>49</v>
      </c>
      <c r="B50" t="s">
        <v>18</v>
      </c>
      <c r="C50" t="s">
        <v>22</v>
      </c>
      <c r="D50">
        <v>3463204</v>
      </c>
      <c r="E50">
        <v>10</v>
      </c>
    </row>
    <row r="51" spans="1:5" x14ac:dyDescent="0.35">
      <c r="A51">
        <v>50</v>
      </c>
      <c r="B51" t="s">
        <v>48</v>
      </c>
      <c r="C51" t="s">
        <v>8</v>
      </c>
      <c r="D51">
        <v>2565526</v>
      </c>
      <c r="E5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 vdt</dc:creator>
  <cp:lastModifiedBy>lyn vdt</cp:lastModifiedBy>
  <dcterms:created xsi:type="dcterms:W3CDTF">2026-10-13T13:32:05Z</dcterms:created>
  <dcterms:modified xsi:type="dcterms:W3CDTF">2026-10-13T13:44:53Z</dcterms:modified>
</cp:coreProperties>
</file>